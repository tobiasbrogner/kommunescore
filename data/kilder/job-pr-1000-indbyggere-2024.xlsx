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pr. 1.000 indbyggere" sheetId="1" state="visible" r:id="rId3"/>
    <sheet name="Kontrol" sheetId="2" state="visible" r:id="rId4"/>
  </sheets>
  <definedNames>
    <definedName function="false" hidden="true" localSheetId="0" name="_xlnm._FilterDatabase" vbProcedure="false">'Job pr. 1.000 indbyggere'!$A$1:$D$99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<sst xmlns="http://schemas.openxmlformats.org/spreadsheetml/2006/main" count="130" uniqueCount="129">
  <si>
    <t xml:space="preserve">Kommune</t>
  </si>
  <si>
    <t xml:space="preserve">Job ultimo november 2024</t>
  </si>
  <si>
    <t xml:space="preserve">Befolkning 1. december 2024</t>
  </si>
  <si>
    <t xml:space="preserve">Job pr. 1.000 indbyggere</t>
  </si>
  <si>
    <t xml:space="preserve">København</t>
  </si>
  <si>
    <t xml:space="preserve">Frederiksberg</t>
  </si>
  <si>
    <t xml:space="preserve">Dragør</t>
  </si>
  <si>
    <t xml:space="preserve">Tårnby</t>
  </si>
  <si>
    <t xml:space="preserve">Albertslund</t>
  </si>
  <si>
    <t xml:space="preserve">Ballerup</t>
  </si>
  <si>
    <t xml:space="preserve">Brøndby</t>
  </si>
  <si>
    <t xml:space="preserve">Gentofte</t>
  </si>
  <si>
    <t xml:space="preserve">Gladsaxe</t>
  </si>
  <si>
    <t xml:space="preserve">Glostrup</t>
  </si>
  <si>
    <t xml:space="preserve">Herlev</t>
  </si>
  <si>
    <t xml:space="preserve">Hvidovre</t>
  </si>
  <si>
    <t xml:space="preserve">Høje-Taastrup</t>
  </si>
  <si>
    <t xml:space="preserve">Ishøj</t>
  </si>
  <si>
    <t xml:space="preserve">Lyngby-Taarbæk</t>
  </si>
  <si>
    <t xml:space="preserve">Rødovre</t>
  </si>
  <si>
    <t xml:space="preserve">Vallensbæk</t>
  </si>
  <si>
    <t xml:space="preserve">Allerød</t>
  </si>
  <si>
    <t xml:space="preserve">Egedal</t>
  </si>
  <si>
    <t xml:space="preserve">Fredensborg</t>
  </si>
  <si>
    <t xml:space="preserve">Frederikssund</t>
  </si>
  <si>
    <t xml:space="preserve">Furesø</t>
  </si>
  <si>
    <t xml:space="preserve">Gribskov</t>
  </si>
  <si>
    <t xml:space="preserve">Halsnæs</t>
  </si>
  <si>
    <t xml:space="preserve">Helsingør</t>
  </si>
  <si>
    <t xml:space="preserve">Hillerød</t>
  </si>
  <si>
    <t xml:space="preserve">Hørsholm</t>
  </si>
  <si>
    <t xml:space="preserve">Rudersdal</t>
  </si>
  <si>
    <t xml:space="preserve">Bornholm</t>
  </si>
  <si>
    <t xml:space="preserve">Greve</t>
  </si>
  <si>
    <t xml:space="preserve">Køge</t>
  </si>
  <si>
    <t xml:space="preserve">Lejre</t>
  </si>
  <si>
    <t xml:space="preserve">Roskilde</t>
  </si>
  <si>
    <t xml:space="preserve">Solrød</t>
  </si>
  <si>
    <t xml:space="preserve">Faxe</t>
  </si>
  <si>
    <t xml:space="preserve">Guldborgsund</t>
  </si>
  <si>
    <t xml:space="preserve">Holbæk</t>
  </si>
  <si>
    <t xml:space="preserve">Kalundborg</t>
  </si>
  <si>
    <t xml:space="preserve">Lolland</t>
  </si>
  <si>
    <t xml:space="preserve">Næstved</t>
  </si>
  <si>
    <t xml:space="preserve">Odsherred</t>
  </si>
  <si>
    <t xml:space="preserve">Ringsted</t>
  </si>
  <si>
    <t xml:space="preserve">Slagelse</t>
  </si>
  <si>
    <t xml:space="preserve">Sorø</t>
  </si>
  <si>
    <t xml:space="preserve">Stevns</t>
  </si>
  <si>
    <t xml:space="preserve">Vordingborg</t>
  </si>
  <si>
    <t xml:space="preserve">Assens</t>
  </si>
  <si>
    <t xml:space="preserve">Faaborg-Midtfyn</t>
  </si>
  <si>
    <t xml:space="preserve">Kerteminde</t>
  </si>
  <si>
    <t xml:space="preserve">Langeland</t>
  </si>
  <si>
    <t xml:space="preserve">Middelfart</t>
  </si>
  <si>
    <t xml:space="preserve">Nordfyns</t>
  </si>
  <si>
    <t xml:space="preserve">Nyborg</t>
  </si>
  <si>
    <t xml:space="preserve">Odense</t>
  </si>
  <si>
    <t xml:space="preserve">Svendborg</t>
  </si>
  <si>
    <t xml:space="preserve">Ærø</t>
  </si>
  <si>
    <t xml:space="preserve">Billund</t>
  </si>
  <si>
    <t xml:space="preserve">Esbjerg</t>
  </si>
  <si>
    <t xml:space="preserve">Fanø</t>
  </si>
  <si>
    <t xml:space="preserve">Fredericia</t>
  </si>
  <si>
    <t xml:space="preserve">Haderslev</t>
  </si>
  <si>
    <t xml:space="preserve">Kolding</t>
  </si>
  <si>
    <t xml:space="preserve">Sønderborg</t>
  </si>
  <si>
    <t xml:space="preserve">Tønder</t>
  </si>
  <si>
    <t xml:space="preserve">Varde</t>
  </si>
  <si>
    <t xml:space="preserve">Vejen</t>
  </si>
  <si>
    <t xml:space="preserve">Vejle</t>
  </si>
  <si>
    <t xml:space="preserve">Aabenraa</t>
  </si>
  <si>
    <t xml:space="preserve">Favrskov</t>
  </si>
  <si>
    <t xml:space="preserve">Hedensted</t>
  </si>
  <si>
    <t xml:space="preserve">Horsens</t>
  </si>
  <si>
    <t xml:space="preserve">Norddjurs</t>
  </si>
  <si>
    <t xml:space="preserve">Odder</t>
  </si>
  <si>
    <t xml:space="preserve">Randers</t>
  </si>
  <si>
    <t xml:space="preserve">Samsø</t>
  </si>
  <si>
    <t xml:space="preserve">Silkeborg</t>
  </si>
  <si>
    <t xml:space="preserve">Skanderborg</t>
  </si>
  <si>
    <t xml:space="preserve">Syddjurs</t>
  </si>
  <si>
    <t xml:space="preserve">Aarhus</t>
  </si>
  <si>
    <t xml:space="preserve">Herning</t>
  </si>
  <si>
    <t xml:space="preserve">Holstebro</t>
  </si>
  <si>
    <t xml:space="preserve">Ikast-Brande</t>
  </si>
  <si>
    <t xml:space="preserve">Lemvig</t>
  </si>
  <si>
    <t xml:space="preserve">Ringkøbing-Skjern</t>
  </si>
  <si>
    <t xml:space="preserve">Skive</t>
  </si>
  <si>
    <t xml:space="preserve">Struer</t>
  </si>
  <si>
    <t xml:space="preserve">Viborg</t>
  </si>
  <si>
    <t xml:space="preserve">Brønderslev</t>
  </si>
  <si>
    <t xml:space="preserve">Frederikshavn</t>
  </si>
  <si>
    <t xml:space="preserve">Hjørring</t>
  </si>
  <si>
    <t xml:space="preserve">Jammerbugt</t>
  </si>
  <si>
    <t xml:space="preserve">Læsø</t>
  </si>
  <si>
    <t xml:space="preserve">Mariagerfjord</t>
  </si>
  <si>
    <t xml:space="preserve">Morsø</t>
  </si>
  <si>
    <t xml:space="preserve">Rebild</t>
  </si>
  <si>
    <t xml:space="preserve">Thisted</t>
  </si>
  <si>
    <t xml:space="preserve">Vesthimmerlands</t>
  </si>
  <si>
    <t xml:space="preserve">Aalborg</t>
  </si>
  <si>
    <t xml:space="preserve">Kilder: Danmarks Statistik, Statistikbanken. ERHV2 (Job ultimo november, TOT Erhverv i alt, 2024) og FOLK1AM (Befolkningen den 1. i måneden, alder i alt, køn i alt, 2024M12). Blå tal = originale værdier fra kilderne; kolonne D er formel.</t>
  </si>
  <si>
    <t xml:space="preserve">Christiansø indgår ikke, da den ikke er en kommune. "Hele landet", regioner, "Uden for Danmark" og "Uoplyst kommune" er også udeladt.</t>
  </si>
  <si>
    <t xml:space="preserve">Kontroloversigt</t>
  </si>
  <si>
    <t xml:space="preserve">Forventet antal kommuner</t>
  </si>
  <si>
    <t xml:space="preserve">Antal kommuner matchet</t>
  </si>
  <si>
    <t xml:space="preserve">Antal kommuner der mangler</t>
  </si>
  <si>
    <t xml:space="preserve">Rækker med gyldig beregning</t>
  </si>
  <si>
    <t xml:space="preserve">Kommuner med matchningsproblemer</t>
  </si>
  <si>
    <t xml:space="preserve">Ingen – alle 98 kommunenavne er identiske i de to filer</t>
  </si>
  <si>
    <t xml:space="preserve">Laveste værdi (job pr. 1.000 indb.)</t>
  </si>
  <si>
    <t xml:space="preserve">  Kommune</t>
  </si>
  <si>
    <t xml:space="preserve">Højeste værdi (job pr. 1.000 indb.)</t>
  </si>
  <si>
    <t xml:space="preserve">Sum job, 98 kommuner</t>
  </si>
  <si>
    <t xml:space="preserve">Sum befolkning, 98 kommuner</t>
  </si>
  <si>
    <t xml:space="preserve">Landstal (job pr. 1.000 indb.)</t>
  </si>
  <si>
    <t xml:space="preserve">Udeladte rækker (ikke kommuner)</t>
  </si>
  <si>
    <t xml:space="preserve">Hele landet (begge filer)</t>
  </si>
  <si>
    <t xml:space="preserve">Landstotal</t>
  </si>
  <si>
    <t xml:space="preserve">Region Hovedstaden … Region Nordjylland (befolkningsfil)</t>
  </si>
  <si>
    <t xml:space="preserve">Regioner</t>
  </si>
  <si>
    <t xml:space="preserve">Christiansø (begge filer)</t>
  </si>
  <si>
    <t xml:space="preserve">Ikke en kommune (administreres af Forsvarsministeriet): 41 job, 90 indbyggere</t>
  </si>
  <si>
    <t xml:space="preserve">Uden for Danmark (jobfil)</t>
  </si>
  <si>
    <t xml:space="preserve">14.932 job – ikke knyttet til en kommune</t>
  </si>
  <si>
    <t xml:space="preserve">Uoplyst kommune (jobfil)</t>
  </si>
  <si>
    <t xml:space="preserve">2.897 job – ikke knyttet til en kommune</t>
  </si>
  <si>
    <t xml:space="preserve">Bemærk: "Landstal" er beregnet på summen af de 98 kommuner og er derfor ikke det samme som tallet for "Hele landet".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</si>
</sst>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525788</v>
      </c>
      <c r="C2" s="3" t="n">
        <v>668906</v>
      </c>
      <c r="D2" s="4" t="n">
        <f aca="false">ROUND(B2/C2*1000,1)</f>
        <v>786</v>
      </c>
    </row>
    <row r="3" customFormat="false" ht="15" hidden="false" customHeight="false" outlineLevel="0" collapsed="false">
      <c r="A3" s="2" t="s">
        <v>5</v>
      </c>
      <c r="B3" s="3" t="n">
        <v>51699</v>
      </c>
      <c r="C3" s="3" t="n">
        <v>106360</v>
      </c>
      <c r="D3" s="4" t="n">
        <f aca="false">ROUND(B3/C3*1000,1)</f>
        <v>486.1</v>
      </c>
    </row>
    <row r="4" customFormat="false" ht="15" hidden="false" customHeight="false" outlineLevel="0" collapsed="false">
      <c r="A4" s="2" t="s">
        <v>6</v>
      </c>
      <c r="B4" s="3" t="n">
        <v>4029</v>
      </c>
      <c r="C4" s="3" t="n">
        <v>14468</v>
      </c>
      <c r="D4" s="4" t="n">
        <f aca="false">ROUND(B4/C4*1000,1)</f>
        <v>278.5</v>
      </c>
    </row>
    <row r="5" customFormat="false" ht="15" hidden="false" customHeight="false" outlineLevel="0" collapsed="false">
      <c r="A5" s="2" t="s">
        <v>7</v>
      </c>
      <c r="B5" s="3" t="n">
        <v>32796</v>
      </c>
      <c r="C5" s="3" t="n">
        <v>44009</v>
      </c>
      <c r="D5" s="4" t="n">
        <f aca="false">ROUND(B5/C5*1000,1)</f>
        <v>745.2</v>
      </c>
    </row>
    <row r="6" customFormat="false" ht="15" hidden="false" customHeight="false" outlineLevel="0" collapsed="false">
      <c r="A6" s="2" t="s">
        <v>8</v>
      </c>
      <c r="B6" s="3" t="n">
        <v>24622</v>
      </c>
      <c r="C6" s="3" t="n">
        <v>28133</v>
      </c>
      <c r="D6" s="4" t="n">
        <f aca="false">ROUND(B6/C6*1000,1)</f>
        <v>875.2</v>
      </c>
    </row>
    <row r="7" customFormat="false" ht="15" hidden="false" customHeight="false" outlineLevel="0" collapsed="false">
      <c r="A7" s="2" t="s">
        <v>9</v>
      </c>
      <c r="B7" s="3" t="n">
        <v>54729</v>
      </c>
      <c r="C7" s="3" t="n">
        <v>52744</v>
      </c>
      <c r="D7" s="4" t="n">
        <f aca="false">ROUND(B7/C7*1000,1)</f>
        <v>1037.6</v>
      </c>
    </row>
    <row r="8" customFormat="false" ht="15" hidden="false" customHeight="false" outlineLevel="0" collapsed="false">
      <c r="A8" s="2" t="s">
        <v>10</v>
      </c>
      <c r="B8" s="3" t="n">
        <v>30633</v>
      </c>
      <c r="C8" s="3" t="n">
        <v>40435</v>
      </c>
      <c r="D8" s="4" t="n">
        <f aca="false">ROUND(B8/C8*1000,1)</f>
        <v>757.6</v>
      </c>
    </row>
    <row r="9" customFormat="false" ht="15" hidden="false" customHeight="false" outlineLevel="0" collapsed="false">
      <c r="A9" s="2" t="s">
        <v>11</v>
      </c>
      <c r="B9" s="3" t="n">
        <v>49308</v>
      </c>
      <c r="C9" s="3" t="n">
        <v>75102</v>
      </c>
      <c r="D9" s="4" t="n">
        <f aca="false">ROUND(B9/C9*1000,1)</f>
        <v>656.5</v>
      </c>
    </row>
    <row r="10" customFormat="false" ht="15" hidden="false" customHeight="false" outlineLevel="0" collapsed="false">
      <c r="A10" s="2" t="s">
        <v>12</v>
      </c>
      <c r="B10" s="3" t="n">
        <v>60269</v>
      </c>
      <c r="C10" s="3" t="n">
        <v>71054</v>
      </c>
      <c r="D10" s="4" t="n">
        <f aca="false">ROUND(B10/C10*1000,1)</f>
        <v>848.2</v>
      </c>
    </row>
    <row r="11" customFormat="false" ht="15" hidden="false" customHeight="false" outlineLevel="0" collapsed="false">
      <c r="A11" s="2" t="s">
        <v>13</v>
      </c>
      <c r="B11" s="3" t="n">
        <v>23138</v>
      </c>
      <c r="C11" s="3" t="n">
        <v>24792</v>
      </c>
      <c r="D11" s="4" t="n">
        <f aca="false">ROUND(B11/C11*1000,1)</f>
        <v>933.3</v>
      </c>
    </row>
    <row r="12" customFormat="false" ht="15" hidden="false" customHeight="false" outlineLevel="0" collapsed="false">
      <c r="A12" s="2" t="s">
        <v>14</v>
      </c>
      <c r="B12" s="3" t="n">
        <v>27170</v>
      </c>
      <c r="C12" s="3" t="n">
        <v>30573</v>
      </c>
      <c r="D12" s="4" t="n">
        <f aca="false">ROUND(B12/C12*1000,1)</f>
        <v>888.7</v>
      </c>
    </row>
    <row r="13" customFormat="false" ht="15" hidden="false" customHeight="false" outlineLevel="0" collapsed="false">
      <c r="A13" s="2" t="s">
        <v>15</v>
      </c>
      <c r="B13" s="3" t="n">
        <v>36591</v>
      </c>
      <c r="C13" s="3" t="n">
        <v>53805</v>
      </c>
      <c r="D13" s="4" t="n">
        <f aca="false">ROUND(B13/C13*1000,1)</f>
        <v>680.1</v>
      </c>
    </row>
    <row r="14" customFormat="false" ht="15" hidden="false" customHeight="false" outlineLevel="0" collapsed="false">
      <c r="A14" s="2" t="s">
        <v>16</v>
      </c>
      <c r="B14" s="3" t="n">
        <v>43600</v>
      </c>
      <c r="C14" s="3" t="n">
        <v>59128</v>
      </c>
      <c r="D14" s="4" t="n">
        <f aca="false">ROUND(B14/C14*1000,1)</f>
        <v>737.4</v>
      </c>
    </row>
    <row r="15" customFormat="false" ht="15" hidden="false" customHeight="false" outlineLevel="0" collapsed="false">
      <c r="A15" s="2" t="s">
        <v>17</v>
      </c>
      <c r="B15" s="3" t="n">
        <v>11494</v>
      </c>
      <c r="C15" s="3" t="n">
        <v>24336</v>
      </c>
      <c r="D15" s="4" t="n">
        <f aca="false">ROUND(B15/C15*1000,1)</f>
        <v>472.3</v>
      </c>
    </row>
    <row r="16" customFormat="false" ht="15" hidden="false" customHeight="false" outlineLevel="0" collapsed="false">
      <c r="A16" s="2" t="s">
        <v>18</v>
      </c>
      <c r="B16" s="3" t="n">
        <v>41468</v>
      </c>
      <c r="C16" s="3" t="n">
        <v>58914</v>
      </c>
      <c r="D16" s="4" t="n">
        <f aca="false">ROUND(B16/C16*1000,1)</f>
        <v>703.9</v>
      </c>
    </row>
    <row r="17" customFormat="false" ht="15" hidden="false" customHeight="false" outlineLevel="0" collapsed="false">
      <c r="A17" s="2" t="s">
        <v>19</v>
      </c>
      <c r="B17" s="3" t="n">
        <v>20321</v>
      </c>
      <c r="C17" s="3" t="n">
        <v>44690</v>
      </c>
      <c r="D17" s="4" t="n">
        <f aca="false">ROUND(B17/C17*1000,1)</f>
        <v>454.7</v>
      </c>
    </row>
    <row r="18" customFormat="false" ht="15" hidden="false" customHeight="false" outlineLevel="0" collapsed="false">
      <c r="A18" s="2" t="s">
        <v>20</v>
      </c>
      <c r="B18" s="3" t="n">
        <v>6593</v>
      </c>
      <c r="C18" s="3" t="n">
        <v>18244</v>
      </c>
      <c r="D18" s="4" t="n">
        <f aca="false">ROUND(B18/C18*1000,1)</f>
        <v>361.4</v>
      </c>
    </row>
    <row r="19" customFormat="false" ht="15" hidden="false" customHeight="false" outlineLevel="0" collapsed="false">
      <c r="A19" s="2" t="s">
        <v>21</v>
      </c>
      <c r="B19" s="3" t="n">
        <v>17144</v>
      </c>
      <c r="C19" s="3" t="n">
        <v>26143</v>
      </c>
      <c r="D19" s="4" t="n">
        <f aca="false">ROUND(B19/C19*1000,1)</f>
        <v>655.8</v>
      </c>
    </row>
    <row r="20" customFormat="false" ht="15" hidden="false" customHeight="false" outlineLevel="0" collapsed="false">
      <c r="A20" s="2" t="s">
        <v>22</v>
      </c>
      <c r="B20" s="3" t="n">
        <v>14241</v>
      </c>
      <c r="C20" s="3" t="n">
        <v>45571</v>
      </c>
      <c r="D20" s="4" t="n">
        <f aca="false">ROUND(B20/C20*1000,1)</f>
        <v>312.5</v>
      </c>
    </row>
    <row r="21" customFormat="false" ht="15" hidden="false" customHeight="false" outlineLevel="0" collapsed="false">
      <c r="A21" s="2" t="s">
        <v>23</v>
      </c>
      <c r="B21" s="3" t="n">
        <v>15804</v>
      </c>
      <c r="C21" s="3" t="n">
        <v>42207</v>
      </c>
      <c r="D21" s="4" t="n">
        <f aca="false">ROUND(B21/C21*1000,1)</f>
        <v>374.4</v>
      </c>
    </row>
    <row r="22" customFormat="false" ht="15" hidden="false" customHeight="false" outlineLevel="0" collapsed="false">
      <c r="A22" s="2" t="s">
        <v>24</v>
      </c>
      <c r="B22" s="3" t="n">
        <v>18710</v>
      </c>
      <c r="C22" s="3" t="n">
        <v>47044</v>
      </c>
      <c r="D22" s="4" t="n">
        <f aca="false">ROUND(B22/C22*1000,1)</f>
        <v>397.7</v>
      </c>
    </row>
    <row r="23" customFormat="false" ht="15" hidden="false" customHeight="false" outlineLevel="0" collapsed="false">
      <c r="A23" s="2" t="s">
        <v>25</v>
      </c>
      <c r="B23" s="3" t="n">
        <v>17381</v>
      </c>
      <c r="C23" s="3" t="n">
        <v>42555</v>
      </c>
      <c r="D23" s="4" t="n">
        <f aca="false">ROUND(B23/C23*1000,1)</f>
        <v>408.4</v>
      </c>
    </row>
    <row r="24" customFormat="false" ht="15" hidden="false" customHeight="false" outlineLevel="0" collapsed="false">
      <c r="A24" s="2" t="s">
        <v>26</v>
      </c>
      <c r="B24" s="3" t="n">
        <v>14655</v>
      </c>
      <c r="C24" s="3" t="n">
        <v>41840</v>
      </c>
      <c r="D24" s="4" t="n">
        <f aca="false">ROUND(B24/C24*1000,1)</f>
        <v>350.3</v>
      </c>
    </row>
    <row r="25" customFormat="false" ht="15" hidden="false" customHeight="false" outlineLevel="0" collapsed="false">
      <c r="A25" s="2" t="s">
        <v>27</v>
      </c>
      <c r="B25" s="3" t="n">
        <v>10706</v>
      </c>
      <c r="C25" s="3" t="n">
        <v>31611</v>
      </c>
      <c r="D25" s="4" t="n">
        <f aca="false">ROUND(B25/C25*1000,1)</f>
        <v>338.7</v>
      </c>
    </row>
    <row r="26" customFormat="false" ht="15" hidden="false" customHeight="false" outlineLevel="0" collapsed="false">
      <c r="A26" s="2" t="s">
        <v>28</v>
      </c>
      <c r="B26" s="3" t="n">
        <v>27203</v>
      </c>
      <c r="C26" s="3" t="n">
        <v>64042</v>
      </c>
      <c r="D26" s="4" t="n">
        <f aca="false">ROUND(B26/C26*1000,1)</f>
        <v>424.8</v>
      </c>
    </row>
    <row r="27" customFormat="false" ht="15" hidden="false" customHeight="false" outlineLevel="0" collapsed="false">
      <c r="A27" s="2" t="s">
        <v>29</v>
      </c>
      <c r="B27" s="3" t="n">
        <v>40667</v>
      </c>
      <c r="C27" s="3" t="n">
        <v>54743</v>
      </c>
      <c r="D27" s="4" t="n">
        <f aca="false">ROUND(B27/C27*1000,1)</f>
        <v>742.9</v>
      </c>
    </row>
    <row r="28" customFormat="false" ht="15" hidden="false" customHeight="false" outlineLevel="0" collapsed="false">
      <c r="A28" s="2" t="s">
        <v>30</v>
      </c>
      <c r="B28" s="3" t="n">
        <v>11890</v>
      </c>
      <c r="C28" s="3" t="n">
        <v>25157</v>
      </c>
      <c r="D28" s="4" t="n">
        <f aca="false">ROUND(B28/C28*1000,1)</f>
        <v>472.6</v>
      </c>
    </row>
    <row r="29" customFormat="false" ht="15" hidden="false" customHeight="false" outlineLevel="0" collapsed="false">
      <c r="A29" s="2" t="s">
        <v>31</v>
      </c>
      <c r="B29" s="3" t="n">
        <v>30188</v>
      </c>
      <c r="C29" s="3" t="n">
        <v>57419</v>
      </c>
      <c r="D29" s="4" t="n">
        <f aca="false">ROUND(B29/C29*1000,1)</f>
        <v>525.7</v>
      </c>
    </row>
    <row r="30" customFormat="false" ht="15" hidden="false" customHeight="false" outlineLevel="0" collapsed="false">
      <c r="A30" s="2" t="s">
        <v>32</v>
      </c>
      <c r="B30" s="3" t="n">
        <v>18656</v>
      </c>
      <c r="C30" s="3" t="n">
        <v>39018</v>
      </c>
      <c r="D30" s="4" t="n">
        <f aca="false">ROUND(B30/C30*1000,1)</f>
        <v>478.1</v>
      </c>
    </row>
    <row r="31" customFormat="false" ht="15" hidden="false" customHeight="false" outlineLevel="0" collapsed="false">
      <c r="A31" s="2" t="s">
        <v>33</v>
      </c>
      <c r="B31" s="3" t="n">
        <v>22756</v>
      </c>
      <c r="C31" s="3" t="n">
        <v>53481</v>
      </c>
      <c r="D31" s="4" t="n">
        <f aca="false">ROUND(B31/C31*1000,1)</f>
        <v>425.5</v>
      </c>
    </row>
    <row r="32" customFormat="false" ht="15" hidden="false" customHeight="false" outlineLevel="0" collapsed="false">
      <c r="A32" s="2" t="s">
        <v>34</v>
      </c>
      <c r="B32" s="3" t="n">
        <v>36526</v>
      </c>
      <c r="C32" s="3" t="n">
        <v>63367</v>
      </c>
      <c r="D32" s="4" t="n">
        <f aca="false">ROUND(B32/C32*1000,1)</f>
        <v>576.4</v>
      </c>
    </row>
    <row r="33" customFormat="false" ht="15" hidden="false" customHeight="false" outlineLevel="0" collapsed="false">
      <c r="A33" s="2" t="s">
        <v>35</v>
      </c>
      <c r="B33" s="3" t="n">
        <v>10135</v>
      </c>
      <c r="C33" s="3" t="n">
        <v>29591</v>
      </c>
      <c r="D33" s="4" t="n">
        <f aca="false">ROUND(B33/C33*1000,1)</f>
        <v>342.5</v>
      </c>
    </row>
    <row r="34" customFormat="false" ht="15" hidden="false" customHeight="false" outlineLevel="0" collapsed="false">
      <c r="A34" s="2" t="s">
        <v>36</v>
      </c>
      <c r="B34" s="3" t="n">
        <v>52328</v>
      </c>
      <c r="C34" s="3" t="n">
        <v>91636</v>
      </c>
      <c r="D34" s="4" t="n">
        <f aca="false">ROUND(B34/C34*1000,1)</f>
        <v>571</v>
      </c>
    </row>
    <row r="35" customFormat="false" ht="15" hidden="false" customHeight="false" outlineLevel="0" collapsed="false">
      <c r="A35" s="2" t="s">
        <v>37</v>
      </c>
      <c r="B35" s="3" t="n">
        <v>7606</v>
      </c>
      <c r="C35" s="3" t="n">
        <v>24689</v>
      </c>
      <c r="D35" s="4" t="n">
        <f aca="false">ROUND(B35/C35*1000,1)</f>
        <v>308.1</v>
      </c>
    </row>
    <row r="36" customFormat="false" ht="15" hidden="false" customHeight="false" outlineLevel="0" collapsed="false">
      <c r="A36" s="2" t="s">
        <v>38</v>
      </c>
      <c r="B36" s="3" t="n">
        <v>15659</v>
      </c>
      <c r="C36" s="3" t="n">
        <v>37758</v>
      </c>
      <c r="D36" s="4" t="n">
        <f aca="false">ROUND(B36/C36*1000,1)</f>
        <v>414.7</v>
      </c>
    </row>
    <row r="37" customFormat="false" ht="15" hidden="false" customHeight="false" outlineLevel="0" collapsed="false">
      <c r="A37" s="2" t="s">
        <v>39</v>
      </c>
      <c r="B37" s="3" t="n">
        <v>26569</v>
      </c>
      <c r="C37" s="3" t="n">
        <v>59364</v>
      </c>
      <c r="D37" s="4" t="n">
        <f aca="false">ROUND(B37/C37*1000,1)</f>
        <v>447.6</v>
      </c>
    </row>
    <row r="38" customFormat="false" ht="15" hidden="false" customHeight="false" outlineLevel="0" collapsed="false">
      <c r="A38" s="2" t="s">
        <v>40</v>
      </c>
      <c r="B38" s="3" t="n">
        <v>33864</v>
      </c>
      <c r="C38" s="3" t="n">
        <v>74444</v>
      </c>
      <c r="D38" s="4" t="n">
        <f aca="false">ROUND(B38/C38*1000,1)</f>
        <v>454.9</v>
      </c>
    </row>
    <row r="39" customFormat="false" ht="15" hidden="false" customHeight="false" outlineLevel="0" collapsed="false">
      <c r="A39" s="2" t="s">
        <v>41</v>
      </c>
      <c r="B39" s="3" t="n">
        <v>25116</v>
      </c>
      <c r="C39" s="3" t="n">
        <v>48216</v>
      </c>
      <c r="D39" s="4" t="n">
        <f aca="false">ROUND(B39/C39*1000,1)</f>
        <v>520.9</v>
      </c>
    </row>
    <row r="40" customFormat="false" ht="15" hidden="false" customHeight="false" outlineLevel="0" collapsed="false">
      <c r="A40" s="2" t="s">
        <v>42</v>
      </c>
      <c r="B40" s="3" t="n">
        <v>21284</v>
      </c>
      <c r="C40" s="3" t="n">
        <v>39149</v>
      </c>
      <c r="D40" s="4" t="n">
        <f aca="false">ROUND(B40/C40*1000,1)</f>
        <v>543.7</v>
      </c>
    </row>
    <row r="41" customFormat="false" ht="15" hidden="false" customHeight="false" outlineLevel="0" collapsed="false">
      <c r="A41" s="2" t="s">
        <v>43</v>
      </c>
      <c r="B41" s="3" t="n">
        <v>37008</v>
      </c>
      <c r="C41" s="3" t="n">
        <v>84932</v>
      </c>
      <c r="D41" s="4" t="n">
        <f aca="false">ROUND(B41/C41*1000,1)</f>
        <v>435.7</v>
      </c>
    </row>
    <row r="42" customFormat="false" ht="15" hidden="false" customHeight="false" outlineLevel="0" collapsed="false">
      <c r="A42" s="2" t="s">
        <v>44</v>
      </c>
      <c r="B42" s="3" t="n">
        <v>12992</v>
      </c>
      <c r="C42" s="3" t="n">
        <v>32260</v>
      </c>
      <c r="D42" s="4" t="n">
        <f aca="false">ROUND(B42/C42*1000,1)</f>
        <v>402.7</v>
      </c>
    </row>
    <row r="43" customFormat="false" ht="15" hidden="false" customHeight="false" outlineLevel="0" collapsed="false">
      <c r="A43" s="2" t="s">
        <v>45</v>
      </c>
      <c r="B43" s="3" t="n">
        <v>19372</v>
      </c>
      <c r="C43" s="3" t="n">
        <v>36297</v>
      </c>
      <c r="D43" s="4" t="n">
        <f aca="false">ROUND(B43/C43*1000,1)</f>
        <v>533.7</v>
      </c>
    </row>
    <row r="44" customFormat="false" ht="15" hidden="false" customHeight="false" outlineLevel="0" collapsed="false">
      <c r="A44" s="2" t="s">
        <v>46</v>
      </c>
      <c r="B44" s="3" t="n">
        <v>40321</v>
      </c>
      <c r="C44" s="3" t="n">
        <v>80439</v>
      </c>
      <c r="D44" s="4" t="n">
        <f aca="false">ROUND(B44/C44*1000,1)</f>
        <v>501.3</v>
      </c>
    </row>
    <row r="45" customFormat="false" ht="15" hidden="false" customHeight="false" outlineLevel="0" collapsed="false">
      <c r="A45" s="2" t="s">
        <v>47</v>
      </c>
      <c r="B45" s="3" t="n">
        <v>14206</v>
      </c>
      <c r="C45" s="3" t="n">
        <v>30595</v>
      </c>
      <c r="D45" s="4" t="n">
        <f aca="false">ROUND(B45/C45*1000,1)</f>
        <v>464.3</v>
      </c>
    </row>
    <row r="46" customFormat="false" ht="15" hidden="false" customHeight="false" outlineLevel="0" collapsed="false">
      <c r="A46" s="2" t="s">
        <v>48</v>
      </c>
      <c r="B46" s="3" t="n">
        <v>7175</v>
      </c>
      <c r="C46" s="3" t="n">
        <v>23600</v>
      </c>
      <c r="D46" s="4" t="n">
        <f aca="false">ROUND(B46/C46*1000,1)</f>
        <v>304</v>
      </c>
    </row>
    <row r="47" customFormat="false" ht="15" hidden="false" customHeight="false" outlineLevel="0" collapsed="false">
      <c r="A47" s="2" t="s">
        <v>49</v>
      </c>
      <c r="B47" s="3" t="n">
        <v>18999</v>
      </c>
      <c r="C47" s="3" t="n">
        <v>45145</v>
      </c>
      <c r="D47" s="4" t="n">
        <f aca="false">ROUND(B47/C47*1000,1)</f>
        <v>420.8</v>
      </c>
    </row>
    <row r="48" customFormat="false" ht="15" hidden="false" customHeight="false" outlineLevel="0" collapsed="false">
      <c r="A48" s="2" t="s">
        <v>50</v>
      </c>
      <c r="B48" s="3" t="n">
        <v>17560</v>
      </c>
      <c r="C48" s="3" t="n">
        <v>40498</v>
      </c>
      <c r="D48" s="4" t="n">
        <f aca="false">ROUND(B48/C48*1000,1)</f>
        <v>433.6</v>
      </c>
    </row>
    <row r="49" customFormat="false" ht="15" hidden="false" customHeight="false" outlineLevel="0" collapsed="false">
      <c r="A49" s="2" t="s">
        <v>51</v>
      </c>
      <c r="B49" s="3" t="n">
        <v>21564</v>
      </c>
      <c r="C49" s="3" t="n">
        <v>52311</v>
      </c>
      <c r="D49" s="4" t="n">
        <f aca="false">ROUND(B49/C49*1000,1)</f>
        <v>412.2</v>
      </c>
    </row>
    <row r="50" customFormat="false" ht="15" hidden="false" customHeight="false" outlineLevel="0" collapsed="false">
      <c r="A50" s="2" t="s">
        <v>52</v>
      </c>
      <c r="B50" s="3" t="n">
        <v>11983</v>
      </c>
      <c r="C50" s="3" t="n">
        <v>23938</v>
      </c>
      <c r="D50" s="4" t="n">
        <f aca="false">ROUND(B50/C50*1000,1)</f>
        <v>500.6</v>
      </c>
    </row>
    <row r="51" customFormat="false" ht="15" hidden="false" customHeight="false" outlineLevel="0" collapsed="false">
      <c r="A51" s="2" t="s">
        <v>53</v>
      </c>
      <c r="B51" s="3" t="n">
        <v>4801</v>
      </c>
      <c r="C51" s="3" t="n">
        <v>11995</v>
      </c>
      <c r="D51" s="4" t="n">
        <f aca="false">ROUND(B51/C51*1000,1)</f>
        <v>400.3</v>
      </c>
    </row>
    <row r="52" customFormat="false" ht="15" hidden="false" customHeight="false" outlineLevel="0" collapsed="false">
      <c r="A52" s="2" t="s">
        <v>54</v>
      </c>
      <c r="B52" s="3" t="n">
        <v>21222</v>
      </c>
      <c r="C52" s="3" t="n">
        <v>40352</v>
      </c>
      <c r="D52" s="4" t="n">
        <f aca="false">ROUND(B52/C52*1000,1)</f>
        <v>525.9</v>
      </c>
    </row>
    <row r="53" customFormat="false" ht="15" hidden="false" customHeight="false" outlineLevel="0" collapsed="false">
      <c r="A53" s="2" t="s">
        <v>55</v>
      </c>
      <c r="B53" s="3" t="n">
        <v>11065</v>
      </c>
      <c r="C53" s="3" t="n">
        <v>29392</v>
      </c>
      <c r="D53" s="4" t="n">
        <f aca="false">ROUND(B53/C53*1000,1)</f>
        <v>376.5</v>
      </c>
    </row>
    <row r="54" customFormat="false" ht="15" hidden="false" customHeight="false" outlineLevel="0" collapsed="false">
      <c r="A54" s="2" t="s">
        <v>56</v>
      </c>
      <c r="B54" s="3" t="n">
        <v>12995</v>
      </c>
      <c r="C54" s="3" t="n">
        <v>32377</v>
      </c>
      <c r="D54" s="4" t="n">
        <f aca="false">ROUND(B54/C54*1000,1)</f>
        <v>401.4</v>
      </c>
    </row>
    <row r="55" customFormat="false" ht="15" hidden="false" customHeight="false" outlineLevel="0" collapsed="false">
      <c r="A55" s="2" t="s">
        <v>57</v>
      </c>
      <c r="B55" s="3" t="n">
        <v>127858</v>
      </c>
      <c r="C55" s="3" t="n">
        <v>210833</v>
      </c>
      <c r="D55" s="4" t="n">
        <f aca="false">ROUND(B55/C55*1000,1)</f>
        <v>606.4</v>
      </c>
    </row>
    <row r="56" customFormat="false" ht="15" hidden="false" customHeight="false" outlineLevel="0" collapsed="false">
      <c r="A56" s="2" t="s">
        <v>58</v>
      </c>
      <c r="B56" s="3" t="n">
        <v>26754</v>
      </c>
      <c r="C56" s="3" t="n">
        <v>59909</v>
      </c>
      <c r="D56" s="4" t="n">
        <f aca="false">ROUND(B56/C56*1000,1)</f>
        <v>446.6</v>
      </c>
    </row>
    <row r="57" customFormat="false" ht="15" hidden="false" customHeight="false" outlineLevel="0" collapsed="false">
      <c r="A57" s="2" t="s">
        <v>59</v>
      </c>
      <c r="B57" s="3" t="n">
        <v>2561</v>
      </c>
      <c r="C57" s="3" t="n">
        <v>5906</v>
      </c>
      <c r="D57" s="4" t="n">
        <f aca="false">ROUND(B57/C57*1000,1)</f>
        <v>433.6</v>
      </c>
    </row>
    <row r="58" customFormat="false" ht="15" hidden="false" customHeight="false" outlineLevel="0" collapsed="false">
      <c r="A58" s="2" t="s">
        <v>60</v>
      </c>
      <c r="B58" s="3" t="n">
        <v>24226</v>
      </c>
      <c r="C58" s="3" t="n">
        <v>27152</v>
      </c>
      <c r="D58" s="4" t="n">
        <f aca="false">ROUND(B58/C58*1000,1)</f>
        <v>892.2</v>
      </c>
    </row>
    <row r="59" customFormat="false" ht="15" hidden="false" customHeight="false" outlineLevel="0" collapsed="false">
      <c r="A59" s="2" t="s">
        <v>61</v>
      </c>
      <c r="B59" s="3" t="n">
        <v>70377</v>
      </c>
      <c r="C59" s="3" t="n">
        <v>115225</v>
      </c>
      <c r="D59" s="4" t="n">
        <f aca="false">ROUND(B59/C59*1000,1)</f>
        <v>610.8</v>
      </c>
    </row>
    <row r="60" customFormat="false" ht="15" hidden="false" customHeight="false" outlineLevel="0" collapsed="false">
      <c r="A60" s="2" t="s">
        <v>62</v>
      </c>
      <c r="B60" s="3" t="n">
        <v>1309</v>
      </c>
      <c r="C60" s="3" t="n">
        <v>3272</v>
      </c>
      <c r="D60" s="4" t="n">
        <f aca="false">ROUND(B60/C60*1000,1)</f>
        <v>400.1</v>
      </c>
    </row>
    <row r="61" customFormat="false" ht="15" hidden="false" customHeight="false" outlineLevel="0" collapsed="false">
      <c r="A61" s="2" t="s">
        <v>63</v>
      </c>
      <c r="B61" s="3" t="n">
        <v>34371</v>
      </c>
      <c r="C61" s="3" t="n">
        <v>52573</v>
      </c>
      <c r="D61" s="4" t="n">
        <f aca="false">ROUND(B61/C61*1000,1)</f>
        <v>653.8</v>
      </c>
    </row>
    <row r="62" customFormat="false" ht="15" hidden="false" customHeight="false" outlineLevel="0" collapsed="false">
      <c r="A62" s="2" t="s">
        <v>64</v>
      </c>
      <c r="B62" s="3" t="n">
        <v>26557</v>
      </c>
      <c r="C62" s="3" t="n">
        <v>55365</v>
      </c>
      <c r="D62" s="4" t="n">
        <f aca="false">ROUND(B62/C62*1000,1)</f>
        <v>479.7</v>
      </c>
    </row>
    <row r="63" customFormat="false" ht="15" hidden="false" customHeight="false" outlineLevel="0" collapsed="false">
      <c r="A63" s="2" t="s">
        <v>65</v>
      </c>
      <c r="B63" s="3" t="n">
        <v>62735</v>
      </c>
      <c r="C63" s="3" t="n">
        <v>95873</v>
      </c>
      <c r="D63" s="4" t="n">
        <f aca="false">ROUND(B63/C63*1000,1)</f>
        <v>654.4</v>
      </c>
    </row>
    <row r="64" customFormat="false" ht="15" hidden="false" customHeight="false" outlineLevel="0" collapsed="false">
      <c r="A64" s="2" t="s">
        <v>66</v>
      </c>
      <c r="B64" s="3" t="n">
        <v>37150</v>
      </c>
      <c r="C64" s="3" t="n">
        <v>74139</v>
      </c>
      <c r="D64" s="4" t="n">
        <f aca="false">ROUND(B64/C64*1000,1)</f>
        <v>501.1</v>
      </c>
    </row>
    <row r="65" customFormat="false" ht="15" hidden="false" customHeight="false" outlineLevel="0" collapsed="false">
      <c r="A65" s="2" t="s">
        <v>67</v>
      </c>
      <c r="B65" s="3" t="n">
        <v>19174</v>
      </c>
      <c r="C65" s="3" t="n">
        <v>36407</v>
      </c>
      <c r="D65" s="4" t="n">
        <f aca="false">ROUND(B65/C65*1000,1)</f>
        <v>526.7</v>
      </c>
    </row>
    <row r="66" customFormat="false" ht="15" hidden="false" customHeight="false" outlineLevel="0" collapsed="false">
      <c r="A66" s="2" t="s">
        <v>68</v>
      </c>
      <c r="B66" s="3" t="n">
        <v>25191</v>
      </c>
      <c r="C66" s="3" t="n">
        <v>49447</v>
      </c>
      <c r="D66" s="4" t="n">
        <f aca="false">ROUND(B66/C66*1000,1)</f>
        <v>509.5</v>
      </c>
    </row>
    <row r="67" customFormat="false" ht="15" hidden="false" customHeight="false" outlineLevel="0" collapsed="false">
      <c r="A67" s="2" t="s">
        <v>69</v>
      </c>
      <c r="B67" s="3" t="n">
        <v>22857</v>
      </c>
      <c r="C67" s="3" t="n">
        <v>42724</v>
      </c>
      <c r="D67" s="4" t="n">
        <f aca="false">ROUND(B67/C67*1000,1)</f>
        <v>535</v>
      </c>
    </row>
    <row r="68" customFormat="false" ht="15" hidden="false" customHeight="false" outlineLevel="0" collapsed="false">
      <c r="A68" s="2" t="s">
        <v>70</v>
      </c>
      <c r="B68" s="3" t="n">
        <v>67466</v>
      </c>
      <c r="C68" s="3" t="n">
        <v>122426</v>
      </c>
      <c r="D68" s="4" t="n">
        <f aca="false">ROUND(B68/C68*1000,1)</f>
        <v>551.1</v>
      </c>
    </row>
    <row r="69" customFormat="false" ht="15" hidden="false" customHeight="false" outlineLevel="0" collapsed="false">
      <c r="A69" s="2" t="s">
        <v>71</v>
      </c>
      <c r="B69" s="3" t="n">
        <v>35534</v>
      </c>
      <c r="C69" s="3" t="n">
        <v>58618</v>
      </c>
      <c r="D69" s="4" t="n">
        <f aca="false">ROUND(B69/C69*1000,1)</f>
        <v>606.2</v>
      </c>
    </row>
    <row r="70" customFormat="false" ht="15" hidden="false" customHeight="false" outlineLevel="0" collapsed="false">
      <c r="A70" s="2" t="s">
        <v>72</v>
      </c>
      <c r="B70" s="3" t="n">
        <v>22503</v>
      </c>
      <c r="C70" s="3" t="n">
        <v>49323</v>
      </c>
      <c r="D70" s="4" t="n">
        <f aca="false">ROUND(B70/C70*1000,1)</f>
        <v>456.2</v>
      </c>
    </row>
    <row r="71" customFormat="false" ht="15" hidden="false" customHeight="false" outlineLevel="0" collapsed="false">
      <c r="A71" s="2" t="s">
        <v>73</v>
      </c>
      <c r="B71" s="3" t="n">
        <v>25793</v>
      </c>
      <c r="C71" s="3" t="n">
        <v>48097</v>
      </c>
      <c r="D71" s="4" t="n">
        <f aca="false">ROUND(B71/C71*1000,1)</f>
        <v>536.3</v>
      </c>
    </row>
    <row r="72" customFormat="false" ht="15" hidden="false" customHeight="false" outlineLevel="0" collapsed="false">
      <c r="A72" s="2" t="s">
        <v>74</v>
      </c>
      <c r="B72" s="3" t="n">
        <v>53452</v>
      </c>
      <c r="C72" s="3" t="n">
        <v>97889</v>
      </c>
      <c r="D72" s="4" t="n">
        <f aca="false">ROUND(B72/C72*1000,1)</f>
        <v>546</v>
      </c>
    </row>
    <row r="73" customFormat="false" ht="15" hidden="false" customHeight="false" outlineLevel="0" collapsed="false">
      <c r="A73" s="2" t="s">
        <v>75</v>
      </c>
      <c r="B73" s="3" t="n">
        <v>17758</v>
      </c>
      <c r="C73" s="3" t="n">
        <v>36658</v>
      </c>
      <c r="D73" s="4" t="n">
        <f aca="false">ROUND(B73/C73*1000,1)</f>
        <v>484.4</v>
      </c>
    </row>
    <row r="74" customFormat="false" ht="15" hidden="false" customHeight="false" outlineLevel="0" collapsed="false">
      <c r="A74" s="2" t="s">
        <v>76</v>
      </c>
      <c r="B74" s="3" t="n">
        <v>9462</v>
      </c>
      <c r="C74" s="3" t="n">
        <v>24076</v>
      </c>
      <c r="D74" s="4" t="n">
        <f aca="false">ROUND(B74/C74*1000,1)</f>
        <v>393</v>
      </c>
    </row>
    <row r="75" customFormat="false" ht="15" hidden="false" customHeight="false" outlineLevel="0" collapsed="false">
      <c r="A75" s="2" t="s">
        <v>77</v>
      </c>
      <c r="B75" s="3" t="n">
        <v>47260</v>
      </c>
      <c r="C75" s="3" t="n">
        <v>100301</v>
      </c>
      <c r="D75" s="4" t="n">
        <f aca="false">ROUND(B75/C75*1000,1)</f>
        <v>471.2</v>
      </c>
    </row>
    <row r="76" customFormat="false" ht="15" hidden="false" customHeight="false" outlineLevel="0" collapsed="false">
      <c r="A76" s="2" t="s">
        <v>78</v>
      </c>
      <c r="B76" s="3" t="n">
        <v>1905</v>
      </c>
      <c r="C76" s="3" t="n">
        <v>3651</v>
      </c>
      <c r="D76" s="4" t="n">
        <f aca="false">ROUND(B76/C76*1000,1)</f>
        <v>521.8</v>
      </c>
    </row>
    <row r="77" customFormat="false" ht="15" hidden="false" customHeight="false" outlineLevel="0" collapsed="false">
      <c r="A77" s="2" t="s">
        <v>79</v>
      </c>
      <c r="B77" s="3" t="n">
        <v>48384</v>
      </c>
      <c r="C77" s="3" t="n">
        <v>101509</v>
      </c>
      <c r="D77" s="4" t="n">
        <f aca="false">ROUND(B77/C77*1000,1)</f>
        <v>476.6</v>
      </c>
    </row>
    <row r="78" customFormat="false" ht="15" hidden="false" customHeight="false" outlineLevel="0" collapsed="false">
      <c r="A78" s="2" t="s">
        <v>80</v>
      </c>
      <c r="B78" s="3" t="n">
        <v>33206</v>
      </c>
      <c r="C78" s="3" t="n">
        <v>65653</v>
      </c>
      <c r="D78" s="4" t="n">
        <f aca="false">ROUND(B78/C78*1000,1)</f>
        <v>505.8</v>
      </c>
    </row>
    <row r="79" customFormat="false" ht="15" hidden="false" customHeight="false" outlineLevel="0" collapsed="false">
      <c r="A79" s="2" t="s">
        <v>81</v>
      </c>
      <c r="B79" s="3" t="n">
        <v>16566</v>
      </c>
      <c r="C79" s="3" t="n">
        <v>44141</v>
      </c>
      <c r="D79" s="4" t="n">
        <f aca="false">ROUND(B79/C79*1000,1)</f>
        <v>375.3</v>
      </c>
    </row>
    <row r="80" customFormat="false" ht="15" hidden="false" customHeight="false" outlineLevel="0" collapsed="false">
      <c r="A80" s="2" t="s">
        <v>82</v>
      </c>
      <c r="B80" s="3" t="n">
        <v>255155</v>
      </c>
      <c r="C80" s="3" t="n">
        <v>373511</v>
      </c>
      <c r="D80" s="4" t="n">
        <f aca="false">ROUND(B80/C80*1000,1)</f>
        <v>683.1</v>
      </c>
    </row>
    <row r="81" customFormat="false" ht="15" hidden="false" customHeight="false" outlineLevel="0" collapsed="false">
      <c r="A81" s="2" t="s">
        <v>83</v>
      </c>
      <c r="B81" s="3" t="n">
        <v>57793</v>
      </c>
      <c r="C81" s="3" t="n">
        <v>89985</v>
      </c>
      <c r="D81" s="4" t="n">
        <f aca="false">ROUND(B81/C81*1000,1)</f>
        <v>642.3</v>
      </c>
    </row>
    <row r="82" customFormat="false" ht="15" hidden="false" customHeight="false" outlineLevel="0" collapsed="false">
      <c r="A82" s="2" t="s">
        <v>84</v>
      </c>
      <c r="B82" s="3" t="n">
        <v>32378</v>
      </c>
      <c r="C82" s="3" t="n">
        <v>59166</v>
      </c>
      <c r="D82" s="4" t="n">
        <f aca="false">ROUND(B82/C82*1000,1)</f>
        <v>547.2</v>
      </c>
    </row>
    <row r="83" customFormat="false" ht="15" hidden="false" customHeight="false" outlineLevel="0" collapsed="false">
      <c r="A83" s="2" t="s">
        <v>85</v>
      </c>
      <c r="B83" s="3" t="n">
        <v>26662</v>
      </c>
      <c r="C83" s="3" t="n">
        <v>42996</v>
      </c>
      <c r="D83" s="4" t="n">
        <f aca="false">ROUND(B83/C83*1000,1)</f>
        <v>620.1</v>
      </c>
    </row>
    <row r="84" customFormat="false" ht="15" hidden="false" customHeight="false" outlineLevel="0" collapsed="false">
      <c r="A84" s="2" t="s">
        <v>86</v>
      </c>
      <c r="B84" s="3" t="n">
        <v>10022</v>
      </c>
      <c r="C84" s="3" t="n">
        <v>18839</v>
      </c>
      <c r="D84" s="4" t="n">
        <f aca="false">ROUND(B84/C84*1000,1)</f>
        <v>532</v>
      </c>
    </row>
    <row r="85" customFormat="false" ht="15" hidden="false" customHeight="false" outlineLevel="0" collapsed="false">
      <c r="A85" s="2" t="s">
        <v>87</v>
      </c>
      <c r="B85" s="3" t="n">
        <v>34031</v>
      </c>
      <c r="C85" s="3" t="n">
        <v>55672</v>
      </c>
      <c r="D85" s="4" t="n">
        <f aca="false">ROUND(B85/C85*1000,1)</f>
        <v>611.3</v>
      </c>
    </row>
    <row r="86" customFormat="false" ht="15" hidden="false" customHeight="false" outlineLevel="0" collapsed="false">
      <c r="A86" s="2" t="s">
        <v>88</v>
      </c>
      <c r="B86" s="3" t="n">
        <v>24378</v>
      </c>
      <c r="C86" s="3" t="n">
        <v>44335</v>
      </c>
      <c r="D86" s="4" t="n">
        <f aca="false">ROUND(B86/C86*1000,1)</f>
        <v>549.9</v>
      </c>
    </row>
    <row r="87" customFormat="false" ht="15" hidden="false" customHeight="false" outlineLevel="0" collapsed="false">
      <c r="A87" s="2" t="s">
        <v>89</v>
      </c>
      <c r="B87" s="3" t="n">
        <v>9052</v>
      </c>
      <c r="C87" s="3" t="n">
        <v>20249</v>
      </c>
      <c r="D87" s="4" t="n">
        <f aca="false">ROUND(B87/C87*1000,1)</f>
        <v>447</v>
      </c>
    </row>
    <row r="88" customFormat="false" ht="15" hidden="false" customHeight="false" outlineLevel="0" collapsed="false">
      <c r="A88" s="2" t="s">
        <v>90</v>
      </c>
      <c r="B88" s="3" t="n">
        <v>56600</v>
      </c>
      <c r="C88" s="3" t="n">
        <v>97707</v>
      </c>
      <c r="D88" s="4" t="n">
        <f aca="false">ROUND(B88/C88*1000,1)</f>
        <v>579.3</v>
      </c>
    </row>
    <row r="89" customFormat="false" ht="15" hidden="false" customHeight="false" outlineLevel="0" collapsed="false">
      <c r="A89" s="2" t="s">
        <v>91</v>
      </c>
      <c r="B89" s="3" t="n">
        <v>15086</v>
      </c>
      <c r="C89" s="3" t="n">
        <v>36702</v>
      </c>
      <c r="D89" s="4" t="n">
        <f aca="false">ROUND(B89/C89*1000,1)</f>
        <v>411</v>
      </c>
    </row>
    <row r="90" customFormat="false" ht="15" hidden="false" customHeight="false" outlineLevel="0" collapsed="false">
      <c r="A90" s="2" t="s">
        <v>92</v>
      </c>
      <c r="B90" s="3" t="n">
        <v>29718</v>
      </c>
      <c r="C90" s="3" t="n">
        <v>57930</v>
      </c>
      <c r="D90" s="4" t="n">
        <f aca="false">ROUND(B90/C90*1000,1)</f>
        <v>513</v>
      </c>
    </row>
    <row r="91" customFormat="false" ht="15" hidden="false" customHeight="false" outlineLevel="0" collapsed="false">
      <c r="A91" s="2" t="s">
        <v>93</v>
      </c>
      <c r="B91" s="3" t="n">
        <v>35056</v>
      </c>
      <c r="C91" s="3" t="n">
        <v>63380</v>
      </c>
      <c r="D91" s="4" t="n">
        <f aca="false">ROUND(B91/C91*1000,1)</f>
        <v>553.1</v>
      </c>
    </row>
    <row r="92" customFormat="false" ht="15" hidden="false" customHeight="false" outlineLevel="0" collapsed="false">
      <c r="A92" s="2" t="s">
        <v>94</v>
      </c>
      <c r="B92" s="3" t="n">
        <v>16066</v>
      </c>
      <c r="C92" s="3" t="n">
        <v>38004</v>
      </c>
      <c r="D92" s="4" t="n">
        <f aca="false">ROUND(B92/C92*1000,1)</f>
        <v>422.7</v>
      </c>
    </row>
    <row r="93" customFormat="false" ht="15" hidden="false" customHeight="false" outlineLevel="0" collapsed="false">
      <c r="A93" s="2" t="s">
        <v>95</v>
      </c>
      <c r="B93" s="3" t="n">
        <v>821</v>
      </c>
      <c r="C93" s="3" t="n">
        <v>1721</v>
      </c>
      <c r="D93" s="4" t="n">
        <f aca="false">ROUND(B93/C93*1000,1)</f>
        <v>477</v>
      </c>
    </row>
    <row r="94" customFormat="false" ht="15" hidden="false" customHeight="false" outlineLevel="0" collapsed="false">
      <c r="A94" s="2" t="s">
        <v>96</v>
      </c>
      <c r="B94" s="3" t="n">
        <v>23647</v>
      </c>
      <c r="C94" s="3" t="n">
        <v>41642</v>
      </c>
      <c r="D94" s="4" t="n">
        <f aca="false">ROUND(B94/C94*1000,1)</f>
        <v>567.9</v>
      </c>
    </row>
    <row r="95" customFormat="false" ht="15" hidden="false" customHeight="false" outlineLevel="0" collapsed="false">
      <c r="A95" s="2" t="s">
        <v>97</v>
      </c>
      <c r="B95" s="3" t="n">
        <v>10416</v>
      </c>
      <c r="C95" s="3" t="n">
        <v>19551</v>
      </c>
      <c r="D95" s="4" t="n">
        <f aca="false">ROUND(B95/C95*1000,1)</f>
        <v>532.8</v>
      </c>
    </row>
    <row r="96" customFormat="false" ht="15" hidden="false" customHeight="false" outlineLevel="0" collapsed="false">
      <c r="A96" s="2" t="s">
        <v>98</v>
      </c>
      <c r="B96" s="3" t="n">
        <v>13907</v>
      </c>
      <c r="C96" s="3" t="n">
        <v>30946</v>
      </c>
      <c r="D96" s="4" t="n">
        <f aca="false">ROUND(B96/C96*1000,1)</f>
        <v>449.4</v>
      </c>
    </row>
    <row r="97" customFormat="false" ht="15" hidden="false" customHeight="false" outlineLevel="0" collapsed="false">
      <c r="A97" s="2" t="s">
        <v>99</v>
      </c>
      <c r="B97" s="3" t="n">
        <v>23929</v>
      </c>
      <c r="C97" s="3" t="n">
        <v>42706</v>
      </c>
      <c r="D97" s="4" t="n">
        <f aca="false">ROUND(B97/C97*1000,1)</f>
        <v>560.3</v>
      </c>
    </row>
    <row r="98" customFormat="false" ht="15" hidden="false" customHeight="false" outlineLevel="0" collapsed="false">
      <c r="A98" s="2" t="s">
        <v>100</v>
      </c>
      <c r="B98" s="3" t="n">
        <v>19479</v>
      </c>
      <c r="C98" s="3" t="n">
        <v>35841</v>
      </c>
      <c r="D98" s="4" t="n">
        <f aca="false">ROUND(B98/C98*1000,1)</f>
        <v>543.5</v>
      </c>
    </row>
    <row r="99" customFormat="false" ht="15" hidden="false" customHeight="false" outlineLevel="0" collapsed="false">
      <c r="A99" s="2" t="s">
        <v>101</v>
      </c>
      <c r="B99" s="3" t="n">
        <v>136353</v>
      </c>
      <c r="C99" s="3" t="n">
        <v>224619</v>
      </c>
      <c r="D99" s="4" t="n">
        <f aca="false">ROUND(B99/C99*1000,1)</f>
        <v>607</v>
      </c>
    </row>
    <row r="101" customFormat="false" ht="15" hidden="false" customHeight="false" outlineLevel="0" collapsed="false">
      <c r="A101" s="5" t="s">
        <v>102</v>
      </c>
    </row>
    <row r="102" customFormat="false" ht="15" hidden="false" customHeight="false" outlineLevel="0" collapsed="false">
      <c r="A102" s="5" t="s">
        <v>103</v>
      </c>
    </row>
  </sheetData>
  <autoFilter ref="A1:D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0"/>
  </cols>
  <sheetData>
    <row r="1" customFormat="false" ht="16.15" hidden="false" customHeight="false" outlineLevel="0" collapsed="false">
      <c r="A1" s="6" t="s">
        <v>104</v>
      </c>
    </row>
    <row r="3" customFormat="false" ht="15" hidden="false" customHeight="false" outlineLevel="0" collapsed="false">
      <c r="A3" s="7" t="s">
        <v>105</v>
      </c>
      <c r="B3" s="8" t="n">
        <v>98</v>
      </c>
    </row>
    <row r="4" customFormat="false" ht="15" hidden="false" customHeight="false" outlineLevel="0" collapsed="false">
      <c r="A4" s="7" t="s">
        <v>106</v>
      </c>
      <c r="B4" s="8" t="n">
        <f aca="false">COUNTA('Job pr. 1.000 indbyggere'!A2:A99)</f>
        <v>98</v>
      </c>
    </row>
    <row r="5" customFormat="false" ht="15" hidden="false" customHeight="false" outlineLevel="0" collapsed="false">
      <c r="A5" s="7" t="s">
        <v>107</v>
      </c>
      <c r="B5" s="8" t="n">
        <f aca="false">B3-B4</f>
        <v>0</v>
      </c>
    </row>
    <row r="6" customFormat="false" ht="15" hidden="false" customHeight="false" outlineLevel="0" collapsed="false">
      <c r="A6" s="7" t="s">
        <v>108</v>
      </c>
      <c r="B6" s="8" t="n">
        <f aca="false">COUNT('Job pr. 1.000 indbyggere'!D2:D99)</f>
        <v>98</v>
      </c>
    </row>
    <row r="7" customFormat="false" ht="15" hidden="false" customHeight="false" outlineLevel="0" collapsed="false">
      <c r="A7" s="7" t="s">
        <v>109</v>
      </c>
      <c r="B7" s="8" t="s">
        <v>110</v>
      </c>
    </row>
    <row r="8" customFormat="false" ht="15" hidden="false" customHeight="false" outlineLevel="0" collapsed="false">
      <c r="A8" s="7" t="s">
        <v>111</v>
      </c>
      <c r="B8" s="9" t="n">
        <f aca="false">MIN('Job pr. 1.000 indbyggere'!D2:D99)</f>
        <v>278.5</v>
      </c>
    </row>
    <row r="9" customFormat="false" ht="15" hidden="false" customHeight="false" outlineLevel="0" collapsed="false">
      <c r="A9" s="10" t="s">
        <v>112</v>
      </c>
      <c r="B9" s="8" t="str">
        <f aca="false">INDEX('Job pr. 1.000 indbyggere'!A2:A99,MATCH(B8,'Job pr. 1.000 indbyggere'!D2:D99,0))</f>
        <v>Dragør</v>
      </c>
    </row>
    <row r="10" customFormat="false" ht="15" hidden="false" customHeight="false" outlineLevel="0" collapsed="false">
      <c r="A10" s="7" t="s">
        <v>113</v>
      </c>
      <c r="B10" s="9" t="n">
        <f aca="false">MAX('Job pr. 1.000 indbyggere'!D2:D99)</f>
        <v>1037.6</v>
      </c>
    </row>
    <row r="11" customFormat="false" ht="15" hidden="false" customHeight="false" outlineLevel="0" collapsed="false">
      <c r="A11" s="10" t="s">
        <v>112</v>
      </c>
      <c r="B11" s="8" t="str">
        <f aca="false">INDEX('Job pr. 1.000 indbyggere'!A2:A99,MATCH(B10,'Job pr. 1.000 indbyggere'!D2:D99,0))</f>
        <v>Ballerup</v>
      </c>
    </row>
    <row r="12" customFormat="false" ht="15" hidden="false" customHeight="false" outlineLevel="0" collapsed="false">
      <c r="A12" s="7" t="s">
        <v>114</v>
      </c>
      <c r="B12" s="11" t="n">
        <f aca="false">SUM('Job pr. 1.000 indbyggere'!B2:B99)</f>
        <v>3475557</v>
      </c>
    </row>
    <row r="13" customFormat="false" ht="15" hidden="false" customHeight="false" outlineLevel="0" collapsed="false">
      <c r="A13" s="7" t="s">
        <v>115</v>
      </c>
      <c r="B13" s="11" t="n">
        <f aca="false">SUM('Job pr. 1.000 indbyggere'!C2:C99)</f>
        <v>5995538</v>
      </c>
    </row>
    <row r="14" customFormat="false" ht="15" hidden="false" customHeight="false" outlineLevel="0" collapsed="false">
      <c r="A14" s="7" t="s">
        <v>116</v>
      </c>
      <c r="B14" s="9" t="n">
        <f aca="false">ROUND(B12/B13*1000,1)</f>
        <v>579.7</v>
      </c>
    </row>
    <row r="16" customFormat="false" ht="15" hidden="false" customHeight="false" outlineLevel="0" collapsed="false">
      <c r="A16" s="7" t="s">
        <v>117</v>
      </c>
    </row>
    <row r="17" customFormat="false" ht="15" hidden="false" customHeight="false" outlineLevel="0" collapsed="false">
      <c r="A17" s="10" t="s">
        <v>118</v>
      </c>
      <c r="B17" s="10" t="s">
        <v>119</v>
      </c>
    </row>
    <row r="18" customFormat="false" ht="15" hidden="false" customHeight="false" outlineLevel="0" collapsed="false">
      <c r="A18" s="10" t="s">
        <v>120</v>
      </c>
      <c r="B18" s="10" t="s">
        <v>121</v>
      </c>
    </row>
    <row r="19" customFormat="false" ht="15" hidden="false" customHeight="false" outlineLevel="0" collapsed="false">
      <c r="A19" s="10" t="s">
        <v>122</v>
      </c>
      <c r="B19" s="10" t="s">
        <v>123</v>
      </c>
    </row>
    <row r="20" customFormat="false" ht="15" hidden="false" customHeight="false" outlineLevel="0" collapsed="false">
      <c r="A20" s="10" t="s">
        <v>124</v>
      </c>
      <c r="B20" s="10" t="s">
        <v>125</v>
      </c>
    </row>
    <row r="21" customFormat="false" ht="15" hidden="false" customHeight="false" outlineLevel="0" collapsed="false">
      <c r="A21" s="10" t="s">
        <v>126</v>
      </c>
      <c r="B21" s="10" t="s">
        <v>127</v>
      </c>
    </row>
    <row r="23" customFormat="false" ht="15" hidden="false" customHeight="false" outlineLevel="0" collapsed="false">
      <c r="A23" s="5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2026-09-23T23:49:33Z</dcterms:created>
  <dc:creator>openpyxl</dc:creator>
  <dc:description/>
  <dc:language>en-US</dc:language>
  <cp:lastModifiedBy/>
  <dcterms:modified xsi:type="dcterms:W3CDTF">2026-09-23T23:49:33Z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